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a9fd4c487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орудование" sheetId="1" r:id="R19dd2d1feb7c44fd"/>
    <x:sheet xmlns:r="http://schemas.openxmlformats.org/officeDocument/2006/relationships" name="Сводка" sheetId="2" r:id="R3c0c14de2ee2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[$₽-ru-RU]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07080"/>
      <x:name val="Carlito"/>
    </x:font>
    <x:font>
      <x:b/>
      <x:sz val="11"/>
      <x:color rgb="FFFFFFFF"/>
      <x:name val="Carlito"/>
    </x:font>
    <x:font>
      <x:sz val="11"/>
      <x:color rgb="FF2637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3"/>
      </x:patternFill>
    </x:fill>
    <x:fill>
      <x:patternFill patternType="solid">
        <x:fgColor rgb="FF149A9A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7DF"/>
      </x:left>
      <x:right style="thin">
        <x:color rgb="FFCBD7DF"/>
      </x:right>
      <x:top style="thin">
        <x:color rgb="FFCBD7DF"/>
      </x:top>
      <x:bottom style="thin">
        <x:color rgb="FFCBD7D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B2C2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d532814db4a8c" /><Relationship Type="http://schemas.openxmlformats.org/officeDocument/2006/relationships/theme" Target="/xl/theme/theme1.xml" Id="R3014e71cdf0f43a3" /><Relationship Type="http://schemas.openxmlformats.org/officeDocument/2006/relationships/sharedStrings" Target="/xl/sharedStrings.xml" Id="R13abc14dc0d8403e" /><Relationship Type="http://schemas.openxmlformats.org/officeDocument/2006/relationships/worksheet" Target="/xl/worksheets/sheet1.xml" Id="R19dd2d1feb7c44fd" /><Relationship Type="http://schemas.openxmlformats.org/officeDocument/2006/relationships/worksheet" Target="/xl/worksheets/sheet2.xml" Id="R3c0c14de2ee241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20" hidden="0" customWidth="1"/>
    <x:col min="5" max="5" width="21" hidden="0" customWidth="1"/>
    <x:col min="6" max="6" width="15" hidden="0" customWidth="1"/>
    <x:col min="7" max="7" width="15" hidden="0" customWidth="1"/>
    <x:col min="8" max="8" width="17" hidden="0" customWidth="1"/>
  </x:cols>
  <x:sheetData>
    <x:row r="1" ht="34" customHeight="1">
      <x:c r="A1" s="3" t="str">
        <x:v>ACME CORP  /  Реестр оборудования</x:v>
      </x:c>
    </x:row>
    <x:row r="2">
      <x:c r="A2" s="6" t="str">
        <x:v>Контрольная выгрузка на 01.08.2025 • владелец: IT Operations • статусы используются при возврате и замене техники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1" t="str">
        <x:v>Инв. номер</x:v>
      </x:c>
      <x:c r="B3" s="11" t="str">
        <x:v>Категория</x:v>
      </x:c>
      <x:c r="C3" s="11" t="str">
        <x:v>Модель</x:v>
      </x:c>
      <x:c r="D3" s="11" t="str">
        <x:v>Сотрудник</x:v>
      </x:c>
      <x:c r="E3" s="11" t="str">
        <x:v>Подразделение</x:v>
      </x:c>
      <x:c r="F3" s="11" t="str">
        <x:v>Дата выдачи</x:v>
      </x:c>
      <x:c r="G3" s="11" t="str">
        <x:v>Статус</x:v>
      </x:c>
      <x:c r="H3" s="11" t="str">
        <x:v>Стоимость, ₽</x:v>
      </x:c>
    </x:row>
    <x:row r="4">
      <x:c r="A4" s="15" t="str">
        <x:v>AC-LT-0142</x:v>
      </x:c>
      <x:c r="B4" s="15" t="str">
        <x:v>Ноутбук</x:v>
      </x:c>
      <x:c r="C4" s="15" t="str">
        <x:v>ThinkPad T14</x:v>
      </x:c>
      <x:c r="D4" s="15" t="str">
        <x:v>Анна Белова</x:v>
      </x:c>
      <x:c r="E4" s="15" t="str">
        <x:v>Продажи</x:v>
      </x:c>
      <x:c r="F4" s="15" t="str">
        <x:v>02.09.2024</x:v>
      </x:c>
      <x:c r="G4" s="15" t="str">
        <x:v>Выдано</x:v>
      </x:c>
      <x:c r="H4" s="16" t="n">
        <x:v>168000</x:v>
      </x:c>
    </x:row>
    <x:row r="5">
      <x:c r="A5" s="15" t="str">
        <x:v>AC-LT-0157</x:v>
      </x:c>
      <x:c r="B5" s="15" t="str">
        <x:v>Ноутбук</x:v>
      </x:c>
      <x:c r="C5" s="15" t="str">
        <x:v>MacBook Pro 14</x:v>
      </x:c>
      <x:c r="D5" s="15" t="str">
        <x:v>Илья Морозов</x:v>
      </x:c>
      <x:c r="E5" s="15" t="str">
        <x:v>Инженерный отдел</x:v>
      </x:c>
      <x:c r="F5" s="15" t="str">
        <x:v>13.01.2025</x:v>
      </x:c>
      <x:c r="G5" s="15" t="str">
        <x:v>Выдано</x:v>
      </x:c>
      <x:c r="H5" s="16" t="n">
        <x:v>245000</x:v>
      </x:c>
    </x:row>
    <x:row r="6">
      <x:c r="A6" s="15" t="str">
        <x:v>AC-LT-0161</x:v>
      </x:c>
      <x:c r="B6" s="15" t="str">
        <x:v>Ноутбук</x:v>
      </x:c>
      <x:c r="C6" s="15" t="str">
        <x:v>MacBook Air 13</x:v>
      </x:c>
      <x:c r="D6" s="15" t="str">
        <x:v>Мария Волкова</x:v>
      </x:c>
      <x:c r="E6" s="15" t="str">
        <x:v>Продукт</x:v>
      </x:c>
      <x:c r="F6" s="15" t="str">
        <x:v>03.02.2025</x:v>
      </x:c>
      <x:c r="G6" s="15" t="str">
        <x:v>Выдано</x:v>
      </x:c>
      <x:c r="H6" s="16" t="n">
        <x:v>154000</x:v>
      </x:c>
    </x:row>
    <x:row r="7">
      <x:c r="A7" s="15" t="str">
        <x:v>AC-MN-0088</x:v>
      </x:c>
      <x:c r="B7" s="15" t="str">
        <x:v>Монитор</x:v>
      </x:c>
      <x:c r="C7" s="15" t="str">
        <x:v>Dell U2723QE</x:v>
      </x:c>
      <x:c r="D7" s="15" t="str">
        <x:v>Илья Морозов</x:v>
      </x:c>
      <x:c r="E7" s="15" t="str">
        <x:v>Инженерный отдел</x:v>
      </x:c>
      <x:c r="F7" s="15" t="str">
        <x:v>13.01.2025</x:v>
      </x:c>
      <x:c r="G7" s="15" t="str">
        <x:v>Выдано</x:v>
      </x:c>
      <x:c r="H7" s="16" t="n">
        <x:v>72000</x:v>
      </x:c>
    </x:row>
    <x:row r="8">
      <x:c r="A8" s="15" t="str">
        <x:v>AC-PH-0041</x:v>
      </x:c>
      <x:c r="B8" s="15" t="str">
        <x:v>Телефон</x:v>
      </x:c>
      <x:c r="C8" s="15" t="str">
        <x:v>iPhone 15</x:v>
      </x:c>
      <x:c r="D8" s="15" t="str">
        <x:v>Анна Белова</x:v>
      </x:c>
      <x:c r="E8" s="15" t="str">
        <x:v>Продажи</x:v>
      </x:c>
      <x:c r="F8" s="15" t="str">
        <x:v>02.09.2024</x:v>
      </x:c>
      <x:c r="G8" s="15" t="str">
        <x:v>Выдано</x:v>
      </x:c>
      <x:c r="H8" s="16" t="n">
        <x:v>98000</x:v>
      </x:c>
    </x:row>
    <x:row r="9">
      <x:c r="A9" s="15" t="str">
        <x:v>AC-LT-0172</x:v>
      </x:c>
      <x:c r="B9" s="15" t="str">
        <x:v>Ноутбук</x:v>
      </x:c>
      <x:c r="C9" s="15" t="str">
        <x:v>ThinkPad T14</x:v>
      </x:c>
      <x:c r="D9" s="15" t="str">
        <x:v>Резерв</x:v>
      </x:c>
      <x:c r="E9" s="15" t="str">
        <x:v>IT Operations</x:v>
      </x:c>
      <x:c r="F9" s="15"/>
      <x:c r="G9" s="15" t="str">
        <x:v>На складе</x:v>
      </x:c>
      <x:c r="H9" s="16" t="n">
        <x:v>171000</x:v>
      </x:c>
    </x:row>
    <x:row r="10">
      <x:c r="A10" s="15" t="str">
        <x:v>AC-MN-0094</x:v>
      </x:c>
      <x:c r="B10" s="15" t="str">
        <x:v>Монитор</x:v>
      </x:c>
      <x:c r="C10" s="15" t="str">
        <x:v>Dell U2723QE</x:v>
      </x:c>
      <x:c r="D10" s="15" t="str">
        <x:v>Резерв</x:v>
      </x:c>
      <x:c r="E10" s="15" t="str">
        <x:v>IT Operations</x:v>
      </x:c>
      <x:c r="F10" s="15"/>
      <x:c r="G10" s="15" t="str">
        <x:v>На складе</x:v>
      </x:c>
      <x:c r="H10" s="16" t="n">
        <x:v>74000</x:v>
      </x:c>
    </x:row>
    <x:row r="11">
      <x:c r="A11" s="15" t="str">
        <x:v>AC-LT-0099</x:v>
      </x:c>
      <x:c r="B11" s="15" t="str">
        <x:v>Ноутбук</x:v>
      </x:c>
      <x:c r="C11" s="15" t="str">
        <x:v>ThinkPad X1</x:v>
      </x:c>
      <x:c r="D11" s="15" t="str">
        <x:v>Списание</x:v>
      </x:c>
      <x:c r="E11" s="15" t="str">
        <x:v>IT Operations</x:v>
      </x:c>
      <x:c r="F11" s="15" t="str">
        <x:v>10.05.2021</x:v>
      </x:c>
      <x:c r="G11" s="15" t="str">
        <x:v>К списанию</x:v>
      </x:c>
      <x:c r="H11" s="16" t="n">
        <x:v>187000</x:v>
      </x:c>
    </x:row>
  </x:sheetData>
  <x:mergeCells>
    <x:mergeCell ref="A1:H1"/>
    <x:mergeCell ref="A2:H2"/>
  </x:mergeCells>
  <x:conditionalFormatting sqref="A4:H11">
    <x:cfRule type="expression" dxfId="0" priority="1">
      <x:formula>$G4="К списанию"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4" customHeight="1">
      <x:c r="A1" s="3" t="str">
        <x:v>Сводка по активам</x:v>
      </x:c>
    </x:row>
    <x:row r="3" ht="30" customHeight="1">
      <x:c r="A3" s="11" t="str">
        <x:v>Показатель</x:v>
      </x:c>
      <x:c r="B3" s="11" t="str">
        <x:v>Значение</x:v>
      </x:c>
    </x:row>
    <x:row r="4">
      <x:c r="A4" s="15" t="str">
        <x:v>Всего объектов</x:v>
      </x:c>
      <x:c r="B4" s="15" t="n">
        <x:f>COUNTA('Оборудование'!A4:A11)</x:f>
        <x:v>8</x:v>
      </x:c>
    </x:row>
    <x:row r="5">
      <x:c r="A5" s="15" t="str">
        <x:v>Выдано сотрудникам</x:v>
      </x:c>
      <x:c r="B5" s="15" t="n">
        <x:f>COUNTIF('Оборудование'!G4:G11,"Выдано")</x:f>
        <x:v>5</x:v>
      </x:c>
    </x:row>
    <x:row r="6">
      <x:c r="A6" s="15" t="str">
        <x:v>На складе</x:v>
      </x:c>
      <x:c r="B6" s="15" t="n">
        <x:f>COUNTIF('Оборудование'!G4:G11,"На складе")</x:f>
        <x:v>2</x:v>
      </x:c>
    </x:row>
    <x:row r="7">
      <x:c r="A7" s="15" t="str">
        <x:v>К списанию</x:v>
      </x:c>
      <x:c r="B7" s="15" t="n">
        <x:f>COUNTIF('Оборудование'!G4:G11,"К списанию")</x:f>
        <x:v>1</x:v>
      </x:c>
    </x:row>
    <x:row r="9" ht="52" customHeight="1">
      <x:c r="A9" s="18" t="str">
        <x:v>Правило: сотрудник возвращает оборудование в IT Operations в последний рабочий день. Замена оформляется новой строкой с уникальным инвентарным номером.</x:v>
      </x:c>
      <x:c r="B9" s="18"/>
      <x:c r="C9" s="18"/>
      <x:c r="D9" s="18"/>
    </x:row>
  </x:sheetData>
  <x:mergeCells>
    <x:mergeCell ref="A1:D1"/>
    <x:mergeCell ref="A9:D9"/>
  </x:mergeCells>
  <x:pageMargins left="0.7" right="0.7" top="0.75" bottom="0.75" header="0.3" footer="0.3"/>
</x:worksheet>
</file>